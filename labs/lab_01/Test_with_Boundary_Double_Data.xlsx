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wiwee\Downloads\"/>
    </mc:Choice>
  </mc:AlternateContent>
  <xr:revisionPtr revIDLastSave="0" documentId="13_ncr:1_{4C30A38C-1333-4D45-9004-46454ACEF1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Test Suite Desig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2" l="1"/>
  <c r="C25" i="2" s="1"/>
  <c r="B24" i="2"/>
  <c r="C24" i="2" s="1"/>
  <c r="B23" i="2"/>
  <c r="C23" i="2" s="1"/>
  <c r="B22" i="2"/>
  <c r="C22" i="2" s="1"/>
  <c r="B21" i="2"/>
  <c r="C21" i="2" s="1"/>
</calcChain>
</file>

<file path=xl/sharedStrings.xml><?xml version="1.0" encoding="utf-8"?>
<sst xmlns="http://schemas.openxmlformats.org/spreadsheetml/2006/main" count="360" uniqueCount="130">
  <si>
    <t>Test Case ID</t>
  </si>
  <si>
    <t>Test Scenario / Function</t>
  </si>
  <si>
    <t>Test Case Description</t>
  </si>
  <si>
    <t>Test Steps
(ขั้นตอนการทดสอบ)</t>
  </si>
  <si>
    <t>Input Data
(ข้อมูลนำเข้า)</t>
  </si>
  <si>
    <t>Expected Result
(ผลลัพธ์ที่คาดหวัง)</t>
  </si>
  <si>
    <t>Actual Result</t>
  </si>
  <si>
    <t>Status</t>
  </si>
  <si>
    <t>Defect ID</t>
  </si>
  <si>
    <t>TC-CP-001</t>
  </si>
  <si>
    <t>createPartyController()
createPartyService()
createParty()</t>
  </si>
  <si>
    <t>ตรวจสอบว่าสามารถสร้างพรรคใหม่ได้ เมื่อผู้ใช้มีสิทธิ์และส่งข้อมูลครบถ้วน</t>
  </si>
  <si>
    <t>1. เปิด Postman
2. เลือก POST
3. ระบุ URL http://localhost:3000/ec/parties
4. แนบ Token ของ EC
5. ใส่ข้อมูลใน Request Body
6. กด Send
7. ตรวจ Response และฐานข้อมูล</t>
  </si>
  <si>
    <t>{
  "name": "พรรคทดสอบระบบ 01",
  "logoUrl": "https://placehold.co/512x512/1E3A5F/FFFFFF/png?text=TEST+PARTY",
  "policy": "นโยบายสำหรับใช้ทดสอบการสร้างข้อมูลพรรคการเมือง 01"
}</t>
  </si>
  <si>
    <t>ระบบคืน 200 OK และ ข้อมูลพรรคถูกบันทึก และ Response มีข้อมูลพรรคที่สร้าง</t>
  </si>
  <si>
    <t>200 OK</t>
  </si>
  <si>
    <t>Pass</t>
  </si>
  <si>
    <t>-</t>
  </si>
  <si>
    <t>TC-CP-002</t>
  </si>
  <si>
    <t>createPartyController()
createPartyService()
createParty()
errorHandler()</t>
  </si>
  <si>
    <t>ตรวจสอบการทำงานเมื่อไม่ส่งชื่อพรรค (name)</t>
  </si>
  <si>
    <t>1. แนบ Token ของ EC
2. ส่ง Request โดยไม่มี name
3. ตรวจ Response
4. ตรวจฐานข้อมูล</t>
  </si>
  <si>
    <t>{
  "logoUrl": "https://placehold.co/512x512/8B1E3F/FFFFFF/png?text=TC-CP-002",
  "policy": "ข้อมูลนโยบายสำหรับทดสอบกรณีไม่ส่งชื่อพรรค"
}</t>
  </si>
  <si>
    <t>ระบบคืน 400 Bad Request พร้อมข้อความ Invalid database query และไม่สร้างข้อมูลพรรค</t>
  </si>
  <si>
    <t>400 Bad Request</t>
  </si>
  <si>
    <t>TC-CP-003</t>
  </si>
  <si>
    <t>ตรวจสอบการทำงานเมื่อไม่ส่งลิงก์รูปโลโก้ (logoUrl)</t>
  </si>
  <si>
    <t>1. แนบ Token ของ EC
2. ส่ง Request โดยไม่มี logoUrl
3. ตรวจ Response
4. ตรวจฐานข้อมูล</t>
  </si>
  <si>
    <t>{
  "name": "พรรคทดสอบระบบ TC-CP-003",
  "policy": "ข้อมูลนโยบายสำหรับทดสอบกรณีไม่ส่งลิงก์รูปโลโก้พรรค"
}</t>
  </si>
  <si>
    <t>TC-CP-004</t>
  </si>
  <si>
    <t>ตรวจสอบการทำงานเมื่อไม่ส่งนโยบายพรรค (policy)</t>
  </si>
  <si>
    <t>1. แนบ Token ของ EC
2. ส่ง Request โดยไม่มี policy
3. ตรวจ Response
4. ตรวจฐานข้อมูล</t>
  </si>
  <si>
    <t>{
  "name": "พรรคทดสอบระบบ TC-CP-004",
  "logoUrl": "https://placehold.co/512x512/2453A6/FFFFFF/png?text=TC-CP-004"
}</t>
  </si>
  <si>
    <t>TC-CP-005</t>
  </si>
  <si>
    <t>ตรวจสอบว่าระบบไม่อนุญาตให้สร้างพรรคที่มีชื่อซ้ำ</t>
  </si>
  <si>
    <t>1. ตรวจสอบว่ามีชื่อพรรคทดสอบในฐานข้อมูลแล้ว
2. แนบ Token ของ EC
3. ส่ง Request โดยใช้ชื่อเดิม
4. ตรวจ Response
5. ตรวจจำนวนข้อมูลในฐานข้อมูล</t>
  </si>
  <si>
    <t>{
  "name": "พรรคทดสอบระบบ 01",
  "logoUrl": "https://placehold.co/512x512/D94B3D/FFFFFF/png?text=TC-CP-005",
  "policy": "นโยบายใหม่สำหรับทดสอบการสร้างพรรคที่มีชื่อซ้ำ"
}</t>
  </si>
  <si>
    <t>ระบบคืน 409 Conflict พร้อมข้อความ Duplicate value (unique constraint failed) และไม่สร้างข้อมูลซ้ำ</t>
  </si>
  <si>
    <t>409 Conflict</t>
  </si>
  <si>
    <t>TC-CP-006</t>
  </si>
  <si>
    <t>requireAuth()</t>
  </si>
  <si>
    <t>ตรวจสอบว่าผู้ที่ไม่ได้เข้าสู่ระบบไม่สามารถสร้างพรรคได้</t>
  </si>
  <si>
    <t>1. สร้าง Request สำหรับเพิ่มพรรค
2. ไม่แนบ Authorization Header
3. กด Send
4. ตรวจ Response
5. ตรวจฐานข้อมูล</t>
  </si>
  <si>
    <t>{
  "name": "พรรคทดสอบระบบ TC-CP-006",
  "logoUrl": "https://placehold.co/512x512/E5B93F/171717/png?text=TC-CP-006",
  "policy": "ข้อมูลนโยบายสำหรับทดสอบกรณีไม่ได้เข้าสู่ระบบ"
}</t>
  </si>
  <si>
    <t>ระบบคืน 401 Unauthorized พร้อมข้อความ Missing access token และไม่สร้างข้อมูลพรรค</t>
  </si>
  <si>
    <t>401 Unauthorized</t>
  </si>
  <si>
    <t>TC-CP-007</t>
  </si>
  <si>
    <t>requireAuth()
meService()</t>
  </si>
  <si>
    <t>ตรวจสอบการทำงานเมื่อใช้ Token ไม่ถูกต้องหรือหมดอายุ</t>
  </si>
  <si>
    <t>1. สร้าง Request สำหรับเพิ่มพรรค
2. ใส่ Token ที่ไม่ถูกต้องหรือหมดอายุ
3. กด Send
4. ตรวจ Response
5. ตรวจฐานข้อมูล</t>
  </si>
  <si>
    <t>{
  "name": "พรรคทดสอบระบบ TC-CP-007",
  "logoUrl": "https://placehold.co/512x512/6A4C93/FFFFFF/png?text=TC-CP-007",
  "policy": "ข้อมูลนโยบายสำหรับทดสอบกรณี Token ไม่ถูกต้องหรือหมดอายุ"
}
Token = invalid-token-TC-CP-007</t>
  </si>
  <si>
    <t>ระบบคืน 401 Unauthorized พร้อมข้อความ Invalid or expired token และไม่สร้างข้อมูลพรรค</t>
  </si>
  <si>
    <t>TC-CP-008</t>
  </si>
  <si>
    <t>requireRole()</t>
  </si>
  <si>
    <t>ตรวจสอบว่าผู้ใช้งานที่ไม่มีสิทธิ์ EC ไม่สามารถสร้างพรรคได้</t>
  </si>
  <si>
    <t>1. เข้าสู่ระบบด้วยบัญชี Voter
2. นำ Token ของ Voter มาแนบใน Request
3. ส่งข้อมูลพรรคครบถ้วน
4. ตรวจ Response
5. ตรวจฐานข้อมูล</t>
  </si>
  <si>
    <t>Bearer Token ของผู้ใช้ที่ไม่มีสิทธิ์ EC 
{
  "name": "พรรคทดสอบระบบ TC-CP-008",
  "logoUrl": "https://placehold.co/512x512/2A9D8F/FFFFFF/png?text=TC-CP-008",
  "policy": "ข้อมูลนโยบายสำหรับทดสอบกรณีผู้ใช้งานไม่มีสิทธิ์ กกต."
}</t>
  </si>
  <si>
    <t>ระบบคืน 403 Forbidden พร้อมข้อความ Forbidden: insufficient permissions และไม่สร้างข้อมูลพรรค</t>
  </si>
  <si>
    <t>403 Forbidden</t>
  </si>
  <si>
    <t>TC-CP-009</t>
  </si>
  <si>
    <t>ตรวจสอบการบันทึกข้อมูลผู้สร้าง ผู้แก้ไขล่าสุด และวันเวลาที่สร้าง</t>
  </si>
  <si>
    <t>1. บันทึก ID ของบัญชี EC ที่ใช้ทดสอบ
2. สร้างพรรคด้วยข้อมูลที่ถูกต้อง
3. ตรวจ Response
4. ตรวจข้อมูลในฐานข้อมูล
5. เปรียบเทียบ ID ของบัญชีกับ createdBy และ updatedBy</t>
  </si>
  <si>
    <t>{
  "name": "พรรคทดสอบระบบ TC-CP-009",
  "logoUrl": "https://placehold.co/512x512/264653/FFFFFF/png?text=TC-CP-009",
  "policy": "ข้อมูลนโยบายสำหรับตรวจสอบผู้สร้าง ผู้แก้ไขล่าสุด และวันเวลาที่บันทึกข้อมูล"
}</t>
  </si>
  <si>
    <t>ระบบคืน 200 OK โดย createdBy และ updatedBy ตรงกับ ID ของบัญชี EC และระบบกำหนด createdAt กับ updatedAt อัตโนมัติ</t>
  </si>
  <si>
    <t>TC-CP-010</t>
  </si>
  <si>
    <t>ตรวจสอบว่าระบบไม่อนุญาตให้สร้างพรรค เมื่อข้อมูลบังคับทั้งหมดไม่ถูกต้อง</t>
  </si>
  <si>
    <t>1. เปิด Postman
2. เลือก POST /ec/parties
3. แนบ Token ของ EC
4. ส่งชื่อและนโยบายเป็นช่องว่าง
5. ส่ง logoUrl เป็น String ว่าง
6. ตรวจ Response
7. ตรวจฐานข้อมูล</t>
  </si>
  <si>
    <t>{
  "name": "   ",
  "logoUrl": "",
  "policy": "   "
}
name มี Spacebar 3 ตัว
logoUrl เป็น String ว่าง ใช้แทนกรณีไม่ได้อัปโหลดรูป
policy มี Spacebar 3 ตัว</t>
  </si>
  <si>
    <t>ระบบต้องคืน 400 Bad Request แจ้งว่าข้อมูลไม่ครบหรือไม่ถูกต้อง และต้องไม่สร้างข้อมูลในฐานข้อมูล</t>
  </si>
  <si>
    <t>Fail</t>
  </si>
  <si>
    <t>DEF-CP-001</t>
  </si>
  <si>
    <t>TC-CP-011</t>
  </si>
  <si>
    <t>ตรวจสอบว่าระบบไม่อนุญาตให้สร้างพรรค เมื่อชื่อพรรคมีเฉพาะช่องว่าง แต่ข้อมูลอื่นถูกต้อง</t>
  </si>
  <si>
    <t>1. ตรวจว่าไม่มีชื่อที่เป็นช่องว่าง 5 ตัวในฐานข้อมูล
2. เปิด Postman
3. แนบ Token ของ EC
4. ส่งชื่อพรรคเป็นช่องว่าง 5 ตัว
5. ส่งโลโก้และนโยบายที่ถูกต้อง
6. ตรวจ Response และฐานข้อมูล</t>
  </si>
  <si>
    <t>{
  "name": "     ",
  "logoUrl": "https://placehold.co/512x512/2453A6/FFFFFF/png?text=TC-CP-011",
  "policy": "นโยบายสำหรับทดสอบกรณีชื่อพรรคมีเฉพาะช่องว่าง"
}
ชื่อพรรคใช้ Spacebar 5 ตัว</t>
  </si>
  <si>
    <t>ระบบต้องคืน 400 Bad Request แจ้งให้ระบุชื่อพรรค และต้องไม่สร้างข้อมูล</t>
  </si>
  <si>
    <t>DEF-CP-002</t>
  </si>
  <si>
    <t>TC-CP-012</t>
  </si>
  <si>
    <t>ตรวจสอบว่าระบบไม่อนุญาตให้สร้างพรรค เมื่อไม่ได้อัปโหลดรูปโลโก้ แต่ชื่อและนโยบายถูกต้อง</t>
  </si>
  <si>
    <t>1. เปิด Postman
2. แนบ Token ของ EC
3. ส่งชื่อและนโยบายที่ถูกต้อง
4. ส่ง logoUrl เป็น String ว่าง
5. ตรวจ Response และฐานข้อมูล</t>
  </si>
  <si>
    <t>{
  "name": "พรรคทดสอบระบบ TC-CP-012",
  "logoUrl": "",
  "policy": "นโยบายสำหรับทดสอบกรณีไม่ได้อัปโหลดรูปโลโก้"
}</t>
  </si>
  <si>
    <t>ระบบต้องคืน 400 Bad Request แจ้งให้เพิ่มรูปโลโก้ และต้องไม่สร้างข้อมูล</t>
  </si>
  <si>
    <t>DEF-CP-003</t>
  </si>
  <si>
    <t>TC-CP-013</t>
  </si>
  <si>
    <t>ตรวจสอบว่าระบบไม่อนุญาตให้สร้างพรรค เมื่อนโยบายมีเฉพาะช่องว่าง แต่ชื่อและโลโก้ถูกต้อง</t>
  </si>
  <si>
    <t>1. เปิด Postman
2. แนบ Token ของ EC
3. ส่งชื่อและโลโก้ที่ถูกต้อง
4. ส่งนโยบายเป็นช่องว่าง 5 ตัว
5. ตรวจ Response และฐานข้อมูล</t>
  </si>
  <si>
    <t>{
  "name": "พรรคทดสอบระบบ TC-CP-013",
  "logoUrl": "https://placehold.co/512x512/D94B3D/FFFFFF/png?text=TC-CP-013",
  "policy": "     "
}
นโยบายใช้ Spacebar 5 ตัว</t>
  </si>
  <si>
    <t>ระบบต้องคืน 400 Bad Request แจ้งให้ระบุนโยบาย และต้องไม่สร้างข้อมูล</t>
  </si>
  <si>
    <t>DEF-CP-004</t>
  </si>
  <si>
    <t>Boundary</t>
  </si>
  <si>
    <t>Double</t>
  </si>
  <si>
    <t>Data</t>
  </si>
  <si>
    <t>C</t>
  </si>
  <si>
    <t>None — ใช้ API + test DB จริง</t>
  </si>
  <si>
    <t>Seed: EC user; พรรคชื่อใหม่ที่ยังไม่มีใน DB; payload ถูกต้อง</t>
  </si>
  <si>
    <t>Seed: EC user; payload ไม่มี name</t>
  </si>
  <si>
    <t>Seed: EC user; payload ไม่มี logoUrl</t>
  </si>
  <si>
    <t>Seed: EC user; payload ไม่มี policy</t>
  </si>
  <si>
    <t>Seed: EC user + พรรคชื่อเดียวกันมีอยู่ก่อนแล้วใน DB</t>
  </si>
  <si>
    <t>None — ไม่ส่ง Authorization header</t>
  </si>
  <si>
    <t>ไม่มี token; payload พรรคครบถ้วน; DB ต้องไม่มี record ใหม่</t>
  </si>
  <si>
    <t>None — ใช้ invalid/expired JWT เป็น test input</t>
  </si>
  <si>
    <t>invalid/expired token; payload พรรคครบถ้วน; DB ต้องไม่มี record ใหม่</t>
  </si>
  <si>
    <t>None — ใช้บัญชี/Token ของ VOTER จริงใน test data</t>
  </si>
  <si>
    <t>Seed: VOTER user + valid VOTER token; payload พรรคครบถ้วน</t>
  </si>
  <si>
    <t>None — ใช้บัญชี EC + test DB จริง</t>
  </si>
  <si>
    <t>Seed: EC user ที่ทราบ userId; payload ถูกต้อง; ตรวจ createdBy/updatedBy/timestamps</t>
  </si>
  <si>
    <t>Seed: EC user; name='   '; logoUrl=''; policy='   '</t>
  </si>
  <si>
    <t>Seed: EC user; name='     '; logoUrl/policy ถูกต้อง</t>
  </si>
  <si>
    <t>Seed: EC user; logoUrl=''; name/policy ถูกต้อง</t>
  </si>
  <si>
    <t>Seed: EC user; policy='     '; name/logoUrl ถูกต้อง</t>
  </si>
  <si>
    <t>SUT: ฟีเจอร์ Create Political Party ของ backend ที่รับ POST /ec/parties (authentication/authorization, validation, business logic และการบันทึกพรรคลงฐานข้อมูล) · Out of scope: การลงทะเบียน/เปลี่ยนสิทธิ์ผู้ใช้, การ list/search/view/edit/delete พรรค, การจัดการผู้สมัคร/การเชื่อมผู้สมัครกับพรรค และการแสดงผลพรรคต่อบุคคลทั่วไป</t>
  </si>
  <si>
    <t>Boundary จัดตาม test case ที่เขียนอยู่ปัจจุบัน: ทุกเคสยิง HTTP เข้า backend component; แม้บางเคสตรวจ DB ด้วย แต่ boundary หลักยังเป็น Component (C)</t>
  </si>
  <si>
    <t>Current Test Suite Shape — Boundary Distribution</t>
  </si>
  <si>
    <t>Legend / ความหมาย</t>
  </si>
  <si>
    <t>จำนวน</t>
  </si>
  <si>
    <t>รูปร่าง suite</t>
  </si>
  <si>
    <t>Component test ผ่าน HTTP API</t>
  </si>
  <si>
    <t>E — End-to-end</t>
  </si>
  <si>
    <t>None</t>
  </si>
  <si>
    <t>ไม่มี mock/stub; ใช้ test environment จริง</t>
  </si>
  <si>
    <t>K — Contract</t>
  </si>
  <si>
    <t>Seed/Input</t>
  </si>
  <si>
    <t>ข้อมูลตั้งต้นที่ต้องเตรียมก่อนรันเคส</t>
  </si>
  <si>
    <t>C — Component</t>
  </si>
  <si>
    <t>หมายเหตุ</t>
  </si>
  <si>
    <t>Test DB เป็น environment/fixture ไม่ถือเป็น test double เมื่อใช้ PostgreSQL จริง</t>
  </si>
  <si>
    <t>I — Integration</t>
  </si>
  <si>
    <t>U — Unit</t>
  </si>
  <si>
    <t>สรุป: suite ปัจจุบันเป็น Component-heavy / single-layer (13 Component tests, ไม่มี Unit/Integration/Contract/E2E ในชุดนี้) เพราะทุก test case ถูกเขียนให้ยิง HTTP ไปที่ POST /ec/parties ผ่าน backend 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</si>
</sst>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sz val="16"/>
      <color theme="1"/>
      <name val="Browallia New"/>
    </font>
    <font>
      <b/>
      <sz val="18"/>
      <color theme="1"/>
      <name val="Browallia New"/>
    </font>
    <font>
      <b/>
      <sz val="16"/>
      <color theme="9" tint="-0.249977111117893"/>
      <name val="Browallia New"/>
    </font>
    <font>
      <b/>
      <sz val="16"/>
      <color rgb="FFC00000"/>
      <name val="Browallia New"/>
    </font>
    <font>
      <b/>
      <sz val="12"/>
      <color rgb="FFFFFFFF"/>
      <name val="Calibri"/>
    </font>
    <font>
      <i/>
      <sz val="11"/>
      <color rgb="FF1F1F1F"/>
      <name val="Calibri"/>
    </font>
    <font>
      <b/>
      <sz val="11"/>
      <color rgb="FF1F1F1F"/>
      <name val="Calibri"/>
    </font>
    <font>
      <b/>
      <sz val="11"/>
      <color theme="1"/>
      <name val="Calibri"/>
    </font>
    <font>
      <i/>
      <sz val="11"/>
      <color theme="1"/>
      <name val="Calibri"/>
    </font>
    <font>
      <b/>
      <sz val="18"/>
      <color theme="1"/>
      <name val="Browallia New"/>
      <family val="2"/>
    </font>
    <font>
      <sz val="16"/>
      <color theme="1"/>
      <name val="Browallia Ne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8" fillId="6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8" fillId="6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6" fillId="4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horizontal="center"/>
    </xf>
    <xf numFmtId="0" fontId="9" fillId="7" borderId="0" xfId="0" applyNumberFormat="1" applyFont="1" applyFill="1" applyBorder="1" applyAlignment="1">
      <alignment wrapText="1"/>
    </xf>
    <xf numFmtId="0" fontId="8" fillId="4" borderId="0" xfId="0" applyNumberFormat="1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vertical="top" wrapText="1"/>
    </xf>
    <xf numFmtId="0" fontId="11" fillId="0" borderId="2" xfId="0" applyNumberFormat="1" applyFont="1" applyFill="1" applyBorder="1" applyAlignment="1">
      <alignment vertical="top" wrapText="1"/>
    </xf>
    <xf numFmtId="0" fontId="10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C00000"/>
      </font>
    </dxf>
    <dxf>
      <font>
        <b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2" sqref="C2"/>
    </sheetView>
  </sheetViews>
  <sheetFormatPr defaultRowHeight="15" x14ac:dyDescent="0.25"/>
  <cols>
    <col min="1" max="1" width="15.7109375" customWidth="1"/>
    <col min="2" max="2" width="31.42578125" style="1" customWidth="1"/>
    <col min="3" max="4" width="47.140625" style="1" customWidth="1"/>
    <col min="5" max="5" width="47.140625" style="9" customWidth="1"/>
    <col min="6" max="6" width="47.140625" style="1" customWidth="1"/>
    <col min="7" max="9" width="18.42578125" customWidth="1"/>
    <col min="10" max="10" width="12" customWidth="1"/>
    <col min="11" max="11" width="30" customWidth="1"/>
    <col min="12" max="12" width="38" customWidth="1"/>
  </cols>
  <sheetData>
    <row r="1" spans="1:12" ht="52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6" t="s">
        <v>89</v>
      </c>
      <c r="K1" s="26" t="s">
        <v>90</v>
      </c>
      <c r="L1" s="26" t="s">
        <v>91</v>
      </c>
    </row>
    <row r="2" spans="1:12" ht="180" x14ac:dyDescent="0.25">
      <c r="A2" s="4" t="s">
        <v>9</v>
      </c>
      <c r="B2" s="2" t="s">
        <v>10</v>
      </c>
      <c r="C2" s="2" t="s">
        <v>11</v>
      </c>
      <c r="D2" s="2" t="s">
        <v>12</v>
      </c>
      <c r="E2" s="8" t="s">
        <v>13</v>
      </c>
      <c r="F2" s="2" t="s">
        <v>14</v>
      </c>
      <c r="G2" s="4" t="s">
        <v>15</v>
      </c>
      <c r="H2" s="5" t="s">
        <v>16</v>
      </c>
      <c r="I2" s="4" t="s">
        <v>17</v>
      </c>
      <c r="J2" s="24" t="s">
        <v>92</v>
      </c>
      <c r="K2" s="25" t="s">
        <v>93</v>
      </c>
      <c r="L2" s="25" t="s">
        <v>94</v>
      </c>
    </row>
    <row r="3" spans="1:12" ht="157.5" x14ac:dyDescent="0.25">
      <c r="A3" s="4" t="s">
        <v>18</v>
      </c>
      <c r="B3" s="2" t="s">
        <v>19</v>
      </c>
      <c r="C3" s="2" t="s">
        <v>20</v>
      </c>
      <c r="D3" s="2" t="s">
        <v>21</v>
      </c>
      <c r="E3" s="8" t="s">
        <v>22</v>
      </c>
      <c r="F3" s="2" t="s">
        <v>23</v>
      </c>
      <c r="G3" s="4" t="s">
        <v>24</v>
      </c>
      <c r="H3" s="5" t="s">
        <v>16</v>
      </c>
      <c r="I3" s="4" t="s">
        <v>17</v>
      </c>
      <c r="J3" s="24" t="s">
        <v>92</v>
      </c>
      <c r="K3" s="25" t="s">
        <v>93</v>
      </c>
      <c r="L3" s="25" t="s">
        <v>95</v>
      </c>
    </row>
    <row r="4" spans="1:12" ht="112.5" x14ac:dyDescent="0.25">
      <c r="A4" s="4" t="s">
        <v>25</v>
      </c>
      <c r="B4" s="2" t="s">
        <v>19</v>
      </c>
      <c r="C4" s="2" t="s">
        <v>26</v>
      </c>
      <c r="D4" s="2" t="s">
        <v>27</v>
      </c>
      <c r="E4" s="8" t="s">
        <v>28</v>
      </c>
      <c r="F4" s="2" t="s">
        <v>23</v>
      </c>
      <c r="G4" s="4" t="s">
        <v>24</v>
      </c>
      <c r="H4" s="5" t="s">
        <v>16</v>
      </c>
      <c r="I4" s="4" t="s">
        <v>17</v>
      </c>
      <c r="J4" s="24" t="s">
        <v>92</v>
      </c>
      <c r="K4" s="25" t="s">
        <v>93</v>
      </c>
      <c r="L4" s="25" t="s">
        <v>96</v>
      </c>
    </row>
    <row r="5" spans="1:12" ht="135" x14ac:dyDescent="0.25">
      <c r="A5" s="4" t="s">
        <v>29</v>
      </c>
      <c r="B5" s="2" t="s">
        <v>19</v>
      </c>
      <c r="C5" s="2" t="s">
        <v>30</v>
      </c>
      <c r="D5" s="2" t="s">
        <v>31</v>
      </c>
      <c r="E5" s="8" t="s">
        <v>32</v>
      </c>
      <c r="F5" s="2" t="s">
        <v>23</v>
      </c>
      <c r="G5" s="4" t="s">
        <v>24</v>
      </c>
      <c r="H5" s="5" t="s">
        <v>16</v>
      </c>
      <c r="I5" s="4" t="s">
        <v>17</v>
      </c>
      <c r="J5" s="24" t="s">
        <v>92</v>
      </c>
      <c r="K5" s="25" t="s">
        <v>93</v>
      </c>
      <c r="L5" s="25" t="s">
        <v>97</v>
      </c>
    </row>
    <row r="6" spans="1:12" ht="180" x14ac:dyDescent="0.25">
      <c r="A6" s="4" t="s">
        <v>33</v>
      </c>
      <c r="B6" s="2" t="s">
        <v>19</v>
      </c>
      <c r="C6" s="2" t="s">
        <v>34</v>
      </c>
      <c r="D6" s="2" t="s">
        <v>35</v>
      </c>
      <c r="E6" s="8" t="s">
        <v>36</v>
      </c>
      <c r="F6" s="2" t="s">
        <v>37</v>
      </c>
      <c r="G6" s="4" t="s">
        <v>38</v>
      </c>
      <c r="H6" s="5" t="s">
        <v>16</v>
      </c>
      <c r="I6" s="4" t="s">
        <v>17</v>
      </c>
      <c r="J6" s="24" t="s">
        <v>92</v>
      </c>
      <c r="K6" s="25" t="s">
        <v>93</v>
      </c>
      <c r="L6" s="25" t="s">
        <v>98</v>
      </c>
    </row>
    <row r="7" spans="1:12" ht="180" x14ac:dyDescent="0.25">
      <c r="A7" s="4" t="s">
        <v>39</v>
      </c>
      <c r="B7" s="2" t="s">
        <v>40</v>
      </c>
      <c r="C7" s="2" t="s">
        <v>41</v>
      </c>
      <c r="D7" s="2" t="s">
        <v>42</v>
      </c>
      <c r="E7" s="8" t="s">
        <v>43</v>
      </c>
      <c r="F7" s="2" t="s">
        <v>44</v>
      </c>
      <c r="G7" s="4" t="s">
        <v>45</v>
      </c>
      <c r="H7" s="5" t="s">
        <v>16</v>
      </c>
      <c r="I7" s="4" t="s">
        <v>17</v>
      </c>
      <c r="J7" s="24" t="s">
        <v>92</v>
      </c>
      <c r="K7" s="25" t="s">
        <v>99</v>
      </c>
      <c r="L7" s="25" t="s">
        <v>100</v>
      </c>
    </row>
    <row r="8" spans="1:12" ht="225" x14ac:dyDescent="0.25">
      <c r="A8" s="4" t="s">
        <v>46</v>
      </c>
      <c r="B8" s="2" t="s">
        <v>47</v>
      </c>
      <c r="C8" s="2" t="s">
        <v>48</v>
      </c>
      <c r="D8" s="2" t="s">
        <v>49</v>
      </c>
      <c r="E8" s="8" t="s">
        <v>50</v>
      </c>
      <c r="F8" s="2" t="s">
        <v>51</v>
      </c>
      <c r="G8" s="4" t="s">
        <v>45</v>
      </c>
      <c r="H8" s="5" t="s">
        <v>16</v>
      </c>
      <c r="I8" s="4" t="s">
        <v>17</v>
      </c>
      <c r="J8" s="24" t="s">
        <v>92</v>
      </c>
      <c r="K8" s="25" t="s">
        <v>101</v>
      </c>
      <c r="L8" s="25" t="s">
        <v>102</v>
      </c>
    </row>
    <row r="9" spans="1:12" ht="202.5" x14ac:dyDescent="0.25">
      <c r="A9" s="4" t="s">
        <v>52</v>
      </c>
      <c r="B9" s="2" t="s">
        <v>53</v>
      </c>
      <c r="C9" s="2" t="s">
        <v>54</v>
      </c>
      <c r="D9" s="2" t="s">
        <v>55</v>
      </c>
      <c r="E9" s="8" t="s">
        <v>56</v>
      </c>
      <c r="F9" s="2" t="s">
        <v>57</v>
      </c>
      <c r="G9" s="4" t="s">
        <v>58</v>
      </c>
      <c r="H9" s="5" t="s">
        <v>16</v>
      </c>
      <c r="I9" s="4" t="s">
        <v>17</v>
      </c>
      <c r="J9" s="24" t="s">
        <v>92</v>
      </c>
      <c r="K9" s="25" t="s">
        <v>103</v>
      </c>
      <c r="L9" s="25" t="s">
        <v>104</v>
      </c>
    </row>
    <row r="10" spans="1:12" ht="180" x14ac:dyDescent="0.25">
      <c r="A10" s="4" t="s">
        <v>59</v>
      </c>
      <c r="B10" s="2" t="s">
        <v>10</v>
      </c>
      <c r="C10" s="2" t="s">
        <v>60</v>
      </c>
      <c r="D10" s="2" t="s">
        <v>61</v>
      </c>
      <c r="E10" s="8" t="s">
        <v>62</v>
      </c>
      <c r="F10" s="2" t="s">
        <v>63</v>
      </c>
      <c r="G10" s="4" t="s">
        <v>15</v>
      </c>
      <c r="H10" s="5" t="s">
        <v>16</v>
      </c>
      <c r="I10" s="4" t="s">
        <v>17</v>
      </c>
      <c r="J10" s="24" t="s">
        <v>92</v>
      </c>
      <c r="K10" s="25" t="s">
        <v>105</v>
      </c>
      <c r="L10" s="25" t="s">
        <v>106</v>
      </c>
    </row>
    <row r="11" spans="1:12" ht="202.5" x14ac:dyDescent="0.25">
      <c r="A11" s="4" t="s">
        <v>64</v>
      </c>
      <c r="B11" s="2" t="s">
        <v>10</v>
      </c>
      <c r="C11" s="6" t="s">
        <v>65</v>
      </c>
      <c r="D11" s="2" t="s">
        <v>66</v>
      </c>
      <c r="E11" s="8" t="s">
        <v>67</v>
      </c>
      <c r="F11" s="6" t="s">
        <v>68</v>
      </c>
      <c r="G11" s="4" t="s">
        <v>15</v>
      </c>
      <c r="H11" s="10" t="s">
        <v>69</v>
      </c>
      <c r="I11" s="4" t="s">
        <v>70</v>
      </c>
      <c r="J11" s="24" t="s">
        <v>92</v>
      </c>
      <c r="K11" s="25" t="s">
        <v>93</v>
      </c>
      <c r="L11" s="25" t="s">
        <v>107</v>
      </c>
    </row>
    <row r="12" spans="1:12" ht="225" x14ac:dyDescent="0.25">
      <c r="A12" s="4" t="s">
        <v>71</v>
      </c>
      <c r="B12" s="2" t="s">
        <v>10</v>
      </c>
      <c r="C12" s="6" t="s">
        <v>72</v>
      </c>
      <c r="D12" s="2" t="s">
        <v>73</v>
      </c>
      <c r="E12" s="8" t="s">
        <v>74</v>
      </c>
      <c r="F12" s="6" t="s">
        <v>75</v>
      </c>
      <c r="G12" s="4" t="s">
        <v>15</v>
      </c>
      <c r="H12" s="10" t="s">
        <v>69</v>
      </c>
      <c r="I12" s="4" t="s">
        <v>76</v>
      </c>
      <c r="J12" s="24" t="s">
        <v>92</v>
      </c>
      <c r="K12" s="25" t="s">
        <v>93</v>
      </c>
      <c r="L12" s="25" t="s">
        <v>108</v>
      </c>
    </row>
    <row r="13" spans="1:12" ht="135" x14ac:dyDescent="0.25">
      <c r="A13" s="4" t="s">
        <v>77</v>
      </c>
      <c r="B13" s="2" t="s">
        <v>10</v>
      </c>
      <c r="C13" s="6" t="s">
        <v>78</v>
      </c>
      <c r="D13" s="2" t="s">
        <v>79</v>
      </c>
      <c r="E13" s="8" t="s">
        <v>80</v>
      </c>
      <c r="F13" s="6" t="s">
        <v>81</v>
      </c>
      <c r="G13" s="4" t="s">
        <v>15</v>
      </c>
      <c r="H13" s="10" t="s">
        <v>69</v>
      </c>
      <c r="I13" s="4" t="s">
        <v>82</v>
      </c>
      <c r="J13" s="24" t="s">
        <v>92</v>
      </c>
      <c r="K13" s="25" t="s">
        <v>93</v>
      </c>
      <c r="L13" s="25" t="s">
        <v>109</v>
      </c>
    </row>
    <row r="14" spans="1:12" ht="202.5" x14ac:dyDescent="0.25">
      <c r="A14" s="4" t="s">
        <v>83</v>
      </c>
      <c r="B14" s="2" t="s">
        <v>10</v>
      </c>
      <c r="C14" s="6" t="s">
        <v>84</v>
      </c>
      <c r="D14" s="2" t="s">
        <v>85</v>
      </c>
      <c r="E14" s="8" t="s">
        <v>86</v>
      </c>
      <c r="F14" s="6" t="s">
        <v>87</v>
      </c>
      <c r="G14" s="4" t="s">
        <v>15</v>
      </c>
      <c r="H14" s="10" t="s">
        <v>69</v>
      </c>
      <c r="I14" s="7" t="s">
        <v>88</v>
      </c>
      <c r="J14" s="24" t="s">
        <v>92</v>
      </c>
      <c r="K14" s="25" t="s">
        <v>93</v>
      </c>
      <c r="L14" s="25" t="s">
        <v>110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/>
  </sheetViews>
  <sheetFormatPr defaultRowHeight="15" x14ac:dyDescent="0.25"/>
  <cols>
    <col min="1" max="1" width="14" customWidth="1"/>
    <col min="2" max="2" width="24" customWidth="1"/>
    <col min="3" max="4" width="32" customWidth="1"/>
    <col min="5" max="6" width="34" customWidth="1"/>
    <col min="7" max="7" width="18" customWidth="1"/>
    <col min="8" max="8" width="12" customWidth="1"/>
    <col min="9" max="9" width="14" customWidth="1"/>
    <col min="10" max="10" width="11" customWidth="1"/>
    <col min="11" max="11" width="30" customWidth="1"/>
    <col min="12" max="12" width="38" customWidth="1"/>
  </cols>
  <sheetData>
    <row r="1" spans="1:12" ht="44.1" customHeight="1" x14ac:dyDescent="0.25">
      <c r="A1" s="19" t="s">
        <v>111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3.950000000000003" customHeight="1" x14ac:dyDescent="0.25">
      <c r="A2" s="20" t="s">
        <v>112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89</v>
      </c>
      <c r="K3" s="11" t="s">
        <v>90</v>
      </c>
      <c r="L3" s="11" t="s">
        <v>91</v>
      </c>
    </row>
    <row r="4" spans="1:12" ht="135" x14ac:dyDescent="0.25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4" t="s">
        <v>92</v>
      </c>
      <c r="K4" s="13" t="s">
        <v>93</v>
      </c>
      <c r="L4" s="13" t="s">
        <v>94</v>
      </c>
    </row>
    <row r="5" spans="1:12" ht="105" x14ac:dyDescent="0.25">
      <c r="A5" s="13" t="s">
        <v>18</v>
      </c>
      <c r="B5" s="13" t="s">
        <v>19</v>
      </c>
      <c r="C5" s="13" t="s">
        <v>20</v>
      </c>
      <c r="D5" s="13" t="s">
        <v>21</v>
      </c>
      <c r="E5" s="13" t="s">
        <v>22</v>
      </c>
      <c r="F5" s="13" t="s">
        <v>23</v>
      </c>
      <c r="G5" s="13" t="s">
        <v>24</v>
      </c>
      <c r="H5" s="13" t="s">
        <v>16</v>
      </c>
      <c r="I5" s="13" t="s">
        <v>17</v>
      </c>
      <c r="J5" s="14" t="s">
        <v>92</v>
      </c>
      <c r="K5" s="13" t="s">
        <v>93</v>
      </c>
      <c r="L5" s="13" t="s">
        <v>95</v>
      </c>
    </row>
    <row r="6" spans="1:12" ht="90" x14ac:dyDescent="0.25">
      <c r="A6" s="13" t="s">
        <v>25</v>
      </c>
      <c r="B6" s="13" t="s">
        <v>19</v>
      </c>
      <c r="C6" s="13" t="s">
        <v>26</v>
      </c>
      <c r="D6" s="13" t="s">
        <v>27</v>
      </c>
      <c r="E6" s="13" t="s">
        <v>28</v>
      </c>
      <c r="F6" s="13" t="s">
        <v>23</v>
      </c>
      <c r="G6" s="13" t="s">
        <v>24</v>
      </c>
      <c r="H6" s="13" t="s">
        <v>16</v>
      </c>
      <c r="I6" s="13" t="s">
        <v>17</v>
      </c>
      <c r="J6" s="14" t="s">
        <v>92</v>
      </c>
      <c r="K6" s="13" t="s">
        <v>93</v>
      </c>
      <c r="L6" s="13" t="s">
        <v>96</v>
      </c>
    </row>
    <row r="7" spans="1:12" ht="105" x14ac:dyDescent="0.25">
      <c r="A7" s="13" t="s">
        <v>29</v>
      </c>
      <c r="B7" s="13" t="s">
        <v>19</v>
      </c>
      <c r="C7" s="13" t="s">
        <v>30</v>
      </c>
      <c r="D7" s="13" t="s">
        <v>31</v>
      </c>
      <c r="E7" s="13" t="s">
        <v>32</v>
      </c>
      <c r="F7" s="13" t="s">
        <v>23</v>
      </c>
      <c r="G7" s="13" t="s">
        <v>24</v>
      </c>
      <c r="H7" s="13" t="s">
        <v>16</v>
      </c>
      <c r="I7" s="13" t="s">
        <v>17</v>
      </c>
      <c r="J7" s="14" t="s">
        <v>92</v>
      </c>
      <c r="K7" s="13" t="s">
        <v>93</v>
      </c>
      <c r="L7" s="13" t="s">
        <v>97</v>
      </c>
    </row>
    <row r="8" spans="1:12" ht="120" x14ac:dyDescent="0.25">
      <c r="A8" s="13" t="s">
        <v>33</v>
      </c>
      <c r="B8" s="13" t="s">
        <v>19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38</v>
      </c>
      <c r="H8" s="13" t="s">
        <v>16</v>
      </c>
      <c r="I8" s="13" t="s">
        <v>17</v>
      </c>
      <c r="J8" s="14" t="s">
        <v>92</v>
      </c>
      <c r="K8" s="13" t="s">
        <v>93</v>
      </c>
      <c r="L8" s="13" t="s">
        <v>98</v>
      </c>
    </row>
    <row r="9" spans="1:12" ht="135" x14ac:dyDescent="0.25">
      <c r="A9" s="13" t="s">
        <v>39</v>
      </c>
      <c r="B9" s="13" t="s">
        <v>40</v>
      </c>
      <c r="C9" s="13" t="s">
        <v>41</v>
      </c>
      <c r="D9" s="13" t="s">
        <v>42</v>
      </c>
      <c r="E9" s="13" t="s">
        <v>43</v>
      </c>
      <c r="F9" s="13" t="s">
        <v>44</v>
      </c>
      <c r="G9" s="13" t="s">
        <v>45</v>
      </c>
      <c r="H9" s="13" t="s">
        <v>16</v>
      </c>
      <c r="I9" s="13" t="s">
        <v>17</v>
      </c>
      <c r="J9" s="14" t="s">
        <v>92</v>
      </c>
      <c r="K9" s="13" t="s">
        <v>99</v>
      </c>
      <c r="L9" s="13" t="s">
        <v>100</v>
      </c>
    </row>
    <row r="10" spans="1:12" ht="180" x14ac:dyDescent="0.25">
      <c r="A10" s="13" t="s">
        <v>46</v>
      </c>
      <c r="B10" s="13" t="s">
        <v>47</v>
      </c>
      <c r="C10" s="13" t="s">
        <v>48</v>
      </c>
      <c r="D10" s="13" t="s">
        <v>49</v>
      </c>
      <c r="E10" s="13" t="s">
        <v>50</v>
      </c>
      <c r="F10" s="13" t="s">
        <v>51</v>
      </c>
      <c r="G10" s="13" t="s">
        <v>45</v>
      </c>
      <c r="H10" s="13" t="s">
        <v>16</v>
      </c>
      <c r="I10" s="13" t="s">
        <v>17</v>
      </c>
      <c r="J10" s="14" t="s">
        <v>92</v>
      </c>
      <c r="K10" s="13" t="s">
        <v>101</v>
      </c>
      <c r="L10" s="13" t="s">
        <v>102</v>
      </c>
    </row>
    <row r="11" spans="1:12" ht="150" x14ac:dyDescent="0.25">
      <c r="A11" s="13" t="s">
        <v>52</v>
      </c>
      <c r="B11" s="13" t="s">
        <v>53</v>
      </c>
      <c r="C11" s="13" t="s">
        <v>54</v>
      </c>
      <c r="D11" s="13" t="s">
        <v>55</v>
      </c>
      <c r="E11" s="13" t="s">
        <v>56</v>
      </c>
      <c r="F11" s="13" t="s">
        <v>57</v>
      </c>
      <c r="G11" s="13" t="s">
        <v>58</v>
      </c>
      <c r="H11" s="13" t="s">
        <v>16</v>
      </c>
      <c r="I11" s="13" t="s">
        <v>17</v>
      </c>
      <c r="J11" s="14" t="s">
        <v>92</v>
      </c>
      <c r="K11" s="13" t="s">
        <v>103</v>
      </c>
      <c r="L11" s="13" t="s">
        <v>104</v>
      </c>
    </row>
    <row r="12" spans="1:12" ht="150" x14ac:dyDescent="0.25">
      <c r="A12" s="13" t="s">
        <v>59</v>
      </c>
      <c r="B12" s="13" t="s">
        <v>10</v>
      </c>
      <c r="C12" s="13" t="s">
        <v>60</v>
      </c>
      <c r="D12" s="13" t="s">
        <v>61</v>
      </c>
      <c r="E12" s="13" t="s">
        <v>62</v>
      </c>
      <c r="F12" s="13" t="s">
        <v>63</v>
      </c>
      <c r="G12" s="13" t="s">
        <v>15</v>
      </c>
      <c r="H12" s="13" t="s">
        <v>16</v>
      </c>
      <c r="I12" s="13" t="s">
        <v>17</v>
      </c>
      <c r="J12" s="14" t="s">
        <v>92</v>
      </c>
      <c r="K12" s="13" t="s">
        <v>105</v>
      </c>
      <c r="L12" s="13" t="s">
        <v>106</v>
      </c>
    </row>
    <row r="13" spans="1:12" ht="135" x14ac:dyDescent="0.25">
      <c r="A13" s="13" t="s">
        <v>64</v>
      </c>
      <c r="B13" s="13" t="s">
        <v>10</v>
      </c>
      <c r="C13" s="13" t="s">
        <v>65</v>
      </c>
      <c r="D13" s="13" t="s">
        <v>66</v>
      </c>
      <c r="E13" s="13" t="s">
        <v>67</v>
      </c>
      <c r="F13" s="13" t="s">
        <v>68</v>
      </c>
      <c r="G13" s="13" t="s">
        <v>15</v>
      </c>
      <c r="H13" s="13" t="s">
        <v>69</v>
      </c>
      <c r="I13" s="13" t="s">
        <v>70</v>
      </c>
      <c r="J13" s="14" t="s">
        <v>92</v>
      </c>
      <c r="K13" s="13" t="s">
        <v>93</v>
      </c>
      <c r="L13" s="13" t="s">
        <v>107</v>
      </c>
    </row>
    <row r="14" spans="1:12" ht="150" x14ac:dyDescent="0.25">
      <c r="A14" s="13" t="s">
        <v>71</v>
      </c>
      <c r="B14" s="13" t="s">
        <v>10</v>
      </c>
      <c r="C14" s="13" t="s">
        <v>72</v>
      </c>
      <c r="D14" s="13" t="s">
        <v>73</v>
      </c>
      <c r="E14" s="13" t="s">
        <v>74</v>
      </c>
      <c r="F14" s="13" t="s">
        <v>75</v>
      </c>
      <c r="G14" s="13" t="s">
        <v>15</v>
      </c>
      <c r="H14" s="13" t="s">
        <v>69</v>
      </c>
      <c r="I14" s="13" t="s">
        <v>76</v>
      </c>
      <c r="J14" s="14" t="s">
        <v>92</v>
      </c>
      <c r="K14" s="13" t="s">
        <v>93</v>
      </c>
      <c r="L14" s="13" t="s">
        <v>108</v>
      </c>
    </row>
    <row r="15" spans="1:12" ht="105" x14ac:dyDescent="0.25">
      <c r="A15" s="13" t="s">
        <v>77</v>
      </c>
      <c r="B15" s="13" t="s">
        <v>10</v>
      </c>
      <c r="C15" s="13" t="s">
        <v>78</v>
      </c>
      <c r="D15" s="13" t="s">
        <v>79</v>
      </c>
      <c r="E15" s="13" t="s">
        <v>80</v>
      </c>
      <c r="F15" s="13" t="s">
        <v>81</v>
      </c>
      <c r="G15" s="13" t="s">
        <v>15</v>
      </c>
      <c r="H15" s="13" t="s">
        <v>69</v>
      </c>
      <c r="I15" s="13" t="s">
        <v>82</v>
      </c>
      <c r="J15" s="14" t="s">
        <v>92</v>
      </c>
      <c r="K15" s="13" t="s">
        <v>93</v>
      </c>
      <c r="L15" s="13" t="s">
        <v>109</v>
      </c>
    </row>
    <row r="16" spans="1:12" ht="150" x14ac:dyDescent="0.25">
      <c r="A16" s="13" t="s">
        <v>83</v>
      </c>
      <c r="B16" s="13" t="s">
        <v>10</v>
      </c>
      <c r="C16" s="13" t="s">
        <v>84</v>
      </c>
      <c r="D16" s="13" t="s">
        <v>85</v>
      </c>
      <c r="E16" s="13" t="s">
        <v>86</v>
      </c>
      <c r="F16" s="13" t="s">
        <v>87</v>
      </c>
      <c r="G16" s="13" t="s">
        <v>15</v>
      </c>
      <c r="H16" s="13" t="s">
        <v>69</v>
      </c>
      <c r="I16" s="13" t="s">
        <v>88</v>
      </c>
      <c r="J16" s="14" t="s">
        <v>92</v>
      </c>
      <c r="K16" s="13" t="s">
        <v>93</v>
      </c>
      <c r="L16" s="13" t="s">
        <v>110</v>
      </c>
    </row>
    <row r="19" spans="1:12" ht="15.75" x14ac:dyDescent="0.25">
      <c r="A19" s="21" t="s">
        <v>113</v>
      </c>
      <c r="B19" s="21"/>
      <c r="C19" s="21"/>
      <c r="D19" s="21"/>
      <c r="E19" s="21"/>
      <c r="F19" s="21"/>
      <c r="H19" s="23" t="s">
        <v>114</v>
      </c>
      <c r="I19" s="23"/>
      <c r="J19" s="23"/>
      <c r="K19" s="23"/>
      <c r="L19" s="23"/>
    </row>
    <row r="20" spans="1:12" ht="45" x14ac:dyDescent="0.25">
      <c r="A20" s="16" t="s">
        <v>89</v>
      </c>
      <c r="B20" s="16" t="s">
        <v>115</v>
      </c>
      <c r="C20" s="16" t="s">
        <v>116</v>
      </c>
      <c r="H20" s="12" t="s">
        <v>89</v>
      </c>
      <c r="I20" s="12" t="s">
        <v>92</v>
      </c>
      <c r="J20" s="12" t="s">
        <v>117</v>
      </c>
      <c r="K20" s="12"/>
      <c r="L20" s="12"/>
    </row>
    <row r="21" spans="1:12" ht="75" x14ac:dyDescent="0.25">
      <c r="A21" s="15" t="s">
        <v>118</v>
      </c>
      <c r="B21" s="15">
        <f>COUNTIF($J$4:$J$16,"E")</f>
        <v>0</v>
      </c>
      <c r="C21" s="17" t="str">
        <f>REPT("■",B21)</f>
        <v/>
      </c>
      <c r="H21" s="12" t="s">
        <v>90</v>
      </c>
      <c r="I21" s="12" t="s">
        <v>119</v>
      </c>
      <c r="J21" s="12" t="s">
        <v>120</v>
      </c>
      <c r="K21" s="12"/>
      <c r="L21" s="12"/>
    </row>
    <row r="22" spans="1:12" ht="60" x14ac:dyDescent="0.25">
      <c r="A22" s="15" t="s">
        <v>121</v>
      </c>
      <c r="B22" s="15">
        <f>COUNTIF($J$4:$J$16,"K")</f>
        <v>0</v>
      </c>
      <c r="C22" s="17" t="str">
        <f>REPT("■",B22)</f>
        <v/>
      </c>
      <c r="H22" s="12" t="s">
        <v>91</v>
      </c>
      <c r="I22" s="12" t="s">
        <v>122</v>
      </c>
      <c r="J22" s="12" t="s">
        <v>123</v>
      </c>
      <c r="K22" s="12"/>
      <c r="L22" s="12"/>
    </row>
    <row r="23" spans="1:12" ht="150" x14ac:dyDescent="0.25">
      <c r="A23" s="15" t="s">
        <v>124</v>
      </c>
      <c r="B23" s="15">
        <f>COUNTIF($J$4:$J$16,"C")</f>
        <v>13</v>
      </c>
      <c r="C23" s="18" t="str">
        <f>REPT("■",B23)</f>
        <v>■■■■■■■■■■■■■</v>
      </c>
      <c r="H23" s="12" t="s">
        <v>125</v>
      </c>
      <c r="I23" s="12"/>
      <c r="J23" s="12" t="s">
        <v>126</v>
      </c>
      <c r="K23" s="12"/>
      <c r="L23" s="12"/>
    </row>
    <row r="24" spans="1:12" ht="30" x14ac:dyDescent="0.25">
      <c r="A24" s="15" t="s">
        <v>127</v>
      </c>
      <c r="B24" s="15">
        <f>COUNTIF($J$4:$J$16,"I")</f>
        <v>0</v>
      </c>
      <c r="C24" s="17" t="str">
        <f>REPT("■",B24)</f>
        <v/>
      </c>
    </row>
    <row r="25" spans="1:12" x14ac:dyDescent="0.25">
      <c r="A25" s="15" t="s">
        <v>128</v>
      </c>
      <c r="B25" s="15">
        <f>COUNTIF($J$4:$J$16,"U")</f>
        <v>0</v>
      </c>
      <c r="C25" s="17" t="str">
        <f>REPT("■",B25)</f>
        <v/>
      </c>
    </row>
    <row r="27" spans="1:12" x14ac:dyDescent="0.25">
      <c r="A27" s="22" t="s">
        <v>129</v>
      </c>
      <c r="B27" s="22"/>
      <c r="C27" s="22"/>
      <c r="D27" s="22"/>
      <c r="E27" s="22"/>
      <c r="F27" s="22"/>
    </row>
    <row r="28" spans="1:12" x14ac:dyDescent="0.25">
      <c r="A28" s="22"/>
      <c r="B28" s="22"/>
      <c r="C28" s="22"/>
      <c r="D28" s="22"/>
      <c r="E28" s="22"/>
      <c r="F28" s="22"/>
    </row>
  </sheetData>
  <mergeCells count="5">
    <mergeCell ref="A1:L1"/>
    <mergeCell ref="A2:L2"/>
    <mergeCell ref="A19:F19"/>
    <mergeCell ref="A27:F28"/>
    <mergeCell ref="H19:L19"/>
  </mergeCells>
  <conditionalFormatting sqref="H4:H16">
    <cfRule type="expression" dxfId="1" priority="1">
      <formula>H4="Pass"</formula>
    </cfRule>
    <cfRule type="expression" dxfId="0" priority="2">
      <formula>H4="Fail"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Suite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wiwee</cp:lastModifiedBy>
  <dcterms:modified xsi:type="dcterms:W3CDTF">2026-10-07T06:54:04Z</dcterms:modified>
</cp:coreProperties>
</file>